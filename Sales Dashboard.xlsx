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/>
  <xr:revisionPtr revIDLastSave="577" documentId="11_0B1D56BE9CDCCE836B02CE7A5FB0D4A9BBFD1C62" xr6:coauthVersionLast="47" xr6:coauthVersionMax="47" xr10:uidLastSave="{033D3A8D-A520-4BA5-960A-CB31D8F40A7C}"/>
  <bookViews>
    <workbookView xWindow="240" yWindow="105" windowWidth="14805" windowHeight="8010" firstSheet="1" xr2:uid="{00000000-000D-0000-FFFF-FFFF00000000}"/>
  </bookViews>
  <sheets>
    <sheet name="Sales Data" sheetId="1" r:id="rId1"/>
    <sheet name="PIVOT TABLE" sheetId="2" r:id="rId2"/>
    <sheet name="Dashboard" sheetId="3" r:id="rId3"/>
  </sheets>
  <definedNames>
    <definedName name="Slicer_Date">#N/A</definedName>
  </definedNames>
  <calcPr calcId="191028"/>
  <pivotCaches>
    <pivotCache cacheId="64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<sst xmlns="http://schemas.openxmlformats.org/spreadsheetml/2006/main" count="129" uniqueCount="33">
  <si>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</si>
  <si>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</si>
  <si>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</si>
  <si>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</si>
  <si>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</si>
  <si>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</si>
  <si>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</si>
  <si>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</si>
  <si>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Dell XPS 13</t>
  </si>
  <si>
    <t>Laptop</t>
  </si>
  <si>
    <t>Tara</t>
  </si>
  <si>
    <t>Bangalore</t>
  </si>
  <si>
    <t>OnePlus Buds</t>
  </si>
  <si>
    <t>Headphone</t>
  </si>
  <si>
    <t>Bruce</t>
  </si>
  <si>
    <t>Mumbai</t>
  </si>
  <si>
    <t>Apple AirPods Pro</t>
  </si>
  <si>
    <t>Krish</t>
  </si>
  <si>
    <t>Pune</t>
  </si>
  <si>
    <t>HP Envy x360</t>
  </si>
  <si>
    <t>Kate</t>
  </si>
  <si>
    <t>Chennai</t>
  </si>
  <si>
    <t>iPhone 11 Pro</t>
  </si>
  <si>
    <t>Phone</t>
  </si>
  <si>
    <t>Asif</t>
  </si>
  <si>
    <t>Delhi</t>
  </si>
  <si>
    <t>OnePlus 8 Pro</t>
  </si>
  <si>
    <t>Hyderabad</t>
  </si>
  <si>
    <t>Kolkata</t>
  </si>
  <si>
    <t>Sum of Amount</t>
  </si>
  <si>
    <t>(blank)</t>
  </si>
  <si>
    <t>Grand Total</t>
  </si>
  <si>
    <t>Ratnagiri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</si>
</sst>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pivotButton="1"/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1">
    <dxf>
      <numFmt numFmtId="19" formatCode="dd/mm/yyyy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TABLE'!$A$4:$A$12</c:f>
              <c:strCache>
                <c:ptCount val="8"/>
                <c:pt idx="0">
                  <c:v>Delhi</c:v>
                </c:pt>
                <c:pt idx="1">
                  <c:v>Chennai</c:v>
                </c:pt>
                <c:pt idx="2">
                  <c:v>Pune</c:v>
                </c:pt>
                <c:pt idx="3">
                  <c:v>Bangalore</c:v>
                </c:pt>
                <c:pt idx="4">
                  <c:v>Hyderabad</c:v>
                </c:pt>
                <c:pt idx="5">
                  <c:v>Mumbai</c:v>
                </c:pt>
                <c:pt idx="6">
                  <c:v>Kolkata</c:v>
                </c:pt>
                <c:pt idx="7">
                  <c:v>Ratnagiri</c:v>
                </c:pt>
              </c:strCache>
            </c:strRef>
          </c:cat>
          <c:val>
            <c:numRef>
              <c:f>'PIVOT TABLE'!$B$4:$B$12</c:f>
              <c:numCache>
                <c:formatCode>#,##0</c:formatCode>
                <c:ptCount val="8"/>
                <c:pt idx="0">
                  <c:v>22989</c:v>
                </c:pt>
                <c:pt idx="1">
                  <c:v>22460</c:v>
                </c:pt>
                <c:pt idx="2">
                  <c:v>17415</c:v>
                </c:pt>
                <c:pt idx="3">
                  <c:v>15183</c:v>
                </c:pt>
                <c:pt idx="4">
                  <c:v>10421</c:v>
                </c:pt>
                <c:pt idx="5">
                  <c:v>9285</c:v>
                </c:pt>
                <c:pt idx="6">
                  <c:v>6627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7-4C28-B057-8637150D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735880"/>
        <c:axId val="394174983"/>
      </c:lineChart>
      <c:catAx>
        <c:axId val="213473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74983"/>
        <c:crosses val="autoZero"/>
        <c:auto val="1"/>
        <c:lblAlgn val="ctr"/>
        <c:lblOffset val="100"/>
        <c:noMultiLvlLbl val="0"/>
      </c:catAx>
      <c:valAx>
        <c:axId val="39417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73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TABLE'!$D$5:$D$12</c:f>
              <c:strCache>
                <c:ptCount val="7"/>
                <c:pt idx="0">
                  <c:v>Apple AirPods Pro</c:v>
                </c:pt>
                <c:pt idx="1">
                  <c:v>Dell XPS 13</c:v>
                </c:pt>
                <c:pt idx="2">
                  <c:v>HP Envy x360</c:v>
                </c:pt>
                <c:pt idx="3">
                  <c:v>iPhone 11 Pro</c:v>
                </c:pt>
                <c:pt idx="4">
                  <c:v>OnePlus 8 Pro</c:v>
                </c:pt>
                <c:pt idx="5">
                  <c:v>OnePlus Buds</c:v>
                </c:pt>
                <c:pt idx="6">
                  <c:v>(blank)</c:v>
                </c:pt>
              </c:strCache>
            </c:strRef>
          </c:cat>
          <c:val>
            <c:numRef>
              <c:f>'PIVOT TABLE'!$E$5:$E$12</c:f>
              <c:numCache>
                <c:formatCode>#,##0</c:formatCode>
                <c:ptCount val="7"/>
                <c:pt idx="0">
                  <c:v>11340</c:v>
                </c:pt>
                <c:pt idx="1">
                  <c:v>20010</c:v>
                </c:pt>
                <c:pt idx="2">
                  <c:v>12960</c:v>
                </c:pt>
                <c:pt idx="3">
                  <c:v>28350</c:v>
                </c:pt>
                <c:pt idx="4">
                  <c:v>22120</c:v>
                </c:pt>
                <c:pt idx="5">
                  <c:v>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5-4353-A4D2-CBF3B8F6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494663"/>
        <c:axId val="327513095"/>
      </c:barChart>
      <c:catAx>
        <c:axId val="32749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13095"/>
        <c:crosses val="autoZero"/>
        <c:auto val="1"/>
        <c:lblAlgn val="ctr"/>
        <c:lblOffset val="100"/>
        <c:noMultiLvlLbl val="0"/>
      </c:catAx>
      <c:valAx>
        <c:axId val="32751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9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TABLE'!$H$5:$H$11</c:f>
              <c:strCache>
                <c:ptCount val="6"/>
                <c:pt idx="0">
                  <c:v>Asif</c:v>
                </c:pt>
                <c:pt idx="1">
                  <c:v>Bruce</c:v>
                </c:pt>
                <c:pt idx="2">
                  <c:v>Kate</c:v>
                </c:pt>
                <c:pt idx="3">
                  <c:v>Krish</c:v>
                </c:pt>
                <c:pt idx="4">
                  <c:v>Tara</c:v>
                </c:pt>
                <c:pt idx="5">
                  <c:v>(blank)</c:v>
                </c:pt>
              </c:strCache>
            </c:strRef>
          </c:cat>
          <c:val>
            <c:numRef>
              <c:f>'PIVOT TABLE'!$I$5:$I$11</c:f>
              <c:numCache>
                <c:formatCode>#,##0</c:formatCode>
                <c:ptCount val="6"/>
                <c:pt idx="0">
                  <c:v>17625</c:v>
                </c:pt>
                <c:pt idx="1">
                  <c:v>24012</c:v>
                </c:pt>
                <c:pt idx="2">
                  <c:v>18729</c:v>
                </c:pt>
                <c:pt idx="3">
                  <c:v>16841</c:v>
                </c:pt>
                <c:pt idx="4">
                  <c:v>27173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8-41D8-9C0F-A5922FD73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4710280"/>
        <c:axId val="2134734344"/>
      </c:barChart>
      <c:catAx>
        <c:axId val="213471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734344"/>
        <c:crosses val="autoZero"/>
        <c:auto val="1"/>
        <c:lblAlgn val="ctr"/>
        <c:lblOffset val="100"/>
        <c:noMultiLvlLbl val="0"/>
      </c:catAx>
      <c:valAx>
        <c:axId val="213473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71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03-43E8-846B-B8A2CFC14C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03-43E8-846B-B8A2CFC14C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03-43E8-846B-B8A2CFC14C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03-43E8-846B-B8A2CFC14C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TABLE'!$K$5:$K$9</c:f>
              <c:strCache>
                <c:ptCount val="4"/>
                <c:pt idx="0">
                  <c:v>Headphone</c:v>
                </c:pt>
                <c:pt idx="1">
                  <c:v>Laptop</c:v>
                </c:pt>
                <c:pt idx="2">
                  <c:v>Phone</c:v>
                </c:pt>
                <c:pt idx="3">
                  <c:v>(blank)</c:v>
                </c:pt>
              </c:strCache>
            </c:strRef>
          </c:cat>
          <c:val>
            <c:numRef>
              <c:f>'PIVOT TABLE'!$L$5:$L$9</c:f>
              <c:numCache>
                <c:formatCode>#,##0</c:formatCode>
                <c:ptCount val="4"/>
                <c:pt idx="0">
                  <c:v>20940</c:v>
                </c:pt>
                <c:pt idx="1">
                  <c:v>32970</c:v>
                </c:pt>
                <c:pt idx="2">
                  <c:v>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03-43E8-846B-B8A2CFC1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TABLE'!$N$5:$N$16</c:f>
              <c:strCache>
                <c:ptCount val="11"/>
                <c:pt idx="0">
                  <c:v>01/01/2021</c:v>
                </c:pt>
                <c:pt idx="1">
                  <c:v>02/01/2021</c:v>
                </c:pt>
                <c:pt idx="2">
                  <c:v>03/01/2021</c:v>
                </c:pt>
                <c:pt idx="3">
                  <c:v>04/01/2021</c:v>
                </c:pt>
                <c:pt idx="4">
                  <c:v>05/01/2021</c:v>
                </c:pt>
                <c:pt idx="5">
                  <c:v>06/01/2021</c:v>
                </c:pt>
                <c:pt idx="6">
                  <c:v>07/01/2021</c:v>
                </c:pt>
                <c:pt idx="7">
                  <c:v>08/01/2021</c:v>
                </c:pt>
                <c:pt idx="8">
                  <c:v>09/01/2021</c:v>
                </c:pt>
                <c:pt idx="9">
                  <c:v>10/01/2021</c:v>
                </c:pt>
                <c:pt idx="10">
                  <c:v>(blank)</c:v>
                </c:pt>
              </c:strCache>
            </c:strRef>
          </c:cat>
          <c:val>
            <c:numRef>
              <c:f>'PIVOT TABLE'!$O$5:$O$16</c:f>
              <c:numCache>
                <c:formatCode>#,##0</c:formatCode>
                <c:ptCount val="11"/>
                <c:pt idx="0">
                  <c:v>7878</c:v>
                </c:pt>
                <c:pt idx="1">
                  <c:v>7470</c:v>
                </c:pt>
                <c:pt idx="2">
                  <c:v>14195</c:v>
                </c:pt>
                <c:pt idx="3">
                  <c:v>7002</c:v>
                </c:pt>
                <c:pt idx="4">
                  <c:v>7020</c:v>
                </c:pt>
                <c:pt idx="5">
                  <c:v>16560</c:v>
                </c:pt>
                <c:pt idx="6">
                  <c:v>4626</c:v>
                </c:pt>
                <c:pt idx="7">
                  <c:v>9810</c:v>
                </c:pt>
                <c:pt idx="8">
                  <c:v>19715</c:v>
                </c:pt>
                <c:pt idx="9">
                  <c:v>10104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D-4A0F-88A1-55A45E79C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7462664"/>
        <c:axId val="991181320"/>
      </c:barChart>
      <c:catAx>
        <c:axId val="98746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81320"/>
        <c:crosses val="autoZero"/>
        <c:auto val="1"/>
        <c:lblAlgn val="ctr"/>
        <c:lblOffset val="100"/>
        <c:noMultiLvlLbl val="0"/>
      </c:catAx>
      <c:valAx>
        <c:axId val="99118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6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9</xdr:col>
      <xdr:colOff>466725</xdr:colOff>
      <xdr:row>10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EB8CA-ED2C-67D7-8B14-8D3F1A4E7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10</xdr:row>
      <xdr:rowOff>76200</xdr:rowOff>
    </xdr:from>
    <xdr:to>
      <xdr:col>9</xdr:col>
      <xdr:colOff>466725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F5A7BF-2B47-4E9C-BE45-D67FA8FE775A}"/>
            </a:ext>
            <a:ext uri="{147F2762-F138-4A5C-976F-8EAC2B608ADB}">
              <a16:predDERef xmlns:a16="http://schemas.microsoft.com/office/drawing/2014/main" pred="{986EB8CA-ED2C-67D7-8B14-8D3F1A4E7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0</xdr:row>
      <xdr:rowOff>0</xdr:rowOff>
    </xdr:from>
    <xdr:to>
      <xdr:col>14</xdr:col>
      <xdr:colOff>142875</xdr:colOff>
      <xdr:row>25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5FF492-2F98-D5E2-EF55-3C6F048FB334}"/>
            </a:ext>
            <a:ext uri="{147F2762-F138-4A5C-976F-8EAC2B608ADB}">
              <a16:predDERef xmlns:a16="http://schemas.microsoft.com/office/drawing/2014/main" pred="{72F5A7BF-2B47-4E9C-BE45-D67FA8FE7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161925</xdr:rowOff>
    </xdr:from>
    <xdr:to>
      <xdr:col>3</xdr:col>
      <xdr:colOff>47625</xdr:colOff>
      <xdr:row>23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5C42B-721D-E647-B618-798C780238C2}"/>
            </a:ext>
            <a:ext uri="{147F2762-F138-4A5C-976F-8EAC2B608ADB}">
              <a16:predDERef xmlns:a16="http://schemas.microsoft.com/office/drawing/2014/main" pred="{6A5FF492-2F98-D5E2-EF55-3C6F048FB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590550</xdr:colOff>
      <xdr:row>9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Date">
              <a:extLst>
                <a:ext uri="{FF2B5EF4-FFF2-40B4-BE49-F238E27FC236}">
                  <a16:creationId xmlns:a16="http://schemas.microsoft.com/office/drawing/2014/main" id="{3288235F-DD85-ECF7-0764-30C12B53586F}"/>
                </a:ext>
                <a:ext uri="{147F2762-F138-4A5C-976F-8EAC2B608ADB}">
                  <a16:predDERef xmlns:a16="http://schemas.microsoft.com/office/drawing/2014/main" pred="{D5B5C42B-721D-E647-B618-798C780238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0"/>
              <a:ext cx="2295525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14</xdr:col>
      <xdr:colOff>104775</xdr:colOff>
      <xdr:row>0</xdr:row>
      <xdr:rowOff>57150</xdr:rowOff>
    </xdr:from>
    <xdr:to>
      <xdr:col>20</xdr:col>
      <xdr:colOff>428625</xdr:colOff>
      <xdr:row>26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8C12A1-1BD2-DC52-C8F5-E36B66B37798}"/>
            </a:ext>
            <a:ext uri="{147F2762-F138-4A5C-976F-8EAC2B608ADB}">
              <a16:predDERef xmlns:a16="http://schemas.microsoft.com/office/drawing/2014/main" pred="{3288235F-DD85-ECF7-0764-30C12B535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727517129628" createdVersion="8" refreshedVersion="8" minRefreshableVersion="3" recordCount="22" xr:uid="{DCBB6181-8FAD-4142-B9A1-214257E92AF1}">
  <cacheSource type="worksheet">
    <worksheetSource ref="A1:H1048576" sheet="Sales Data"/>
  </cacheSource>
  <cacheFields count="8">
    <cacheField name="Date" numFmtId="0">
      <sharedItems containsNonDate="0" containsDate="1" containsString="0" containsBlank="1" minDate="2021-01-01T00:00:00" maxDate="2021-01-11T00:00:00" count="11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m/>
      </sharedItems>
    </cacheField>
    <cacheField name="Product" numFmtId="0">
      <sharedItems containsBlank="1" count="7">
        <s v="Dell XPS 13"/>
        <s v="OnePlus Buds"/>
        <s v="Apple AirPods Pro"/>
        <s v="HP Envy x360"/>
        <s v="iPhone 11 Pro"/>
        <s v="OnePlus 8 Pro"/>
        <m/>
      </sharedItems>
    </cacheField>
    <cacheField name="Category" numFmtId="0">
      <sharedItems containsBlank="1" count="4">
        <s v="Laptop"/>
        <s v="Headphone"/>
        <s v="Phone"/>
        <m/>
      </sharedItems>
    </cacheField>
    <cacheField name="Sales Rep" numFmtId="0">
      <sharedItems containsBlank="1" count="6">
        <s v="Tara"/>
        <s v="Bruce"/>
        <s v="Krish"/>
        <s v="Kate"/>
        <s v="Asif"/>
        <m/>
      </sharedItems>
    </cacheField>
    <cacheField name="City" numFmtId="0">
      <sharedItems containsBlank="1" count="8">
        <s v="Bangalore"/>
        <s v="Mumbai"/>
        <s v="Pune"/>
        <s v="Chennai"/>
        <s v="Delhi"/>
        <s v="Hyderabad"/>
        <s v="Kolkata"/>
        <m/>
      </sharedItems>
    </cacheField>
    <cacheField name="No.of Units" numFmtId="0">
      <sharedItems containsString="0" containsBlank="1" containsNumber="1" containsInteger="1" minValue="1" maxValue="40"/>
    </cacheField>
    <cacheField name="Price" numFmtId="0">
      <sharedItems containsString="0" containsBlank="1" containsNumber="1" containsInteger="1" minValue="75" maxValue="2001"/>
    </cacheField>
    <cacheField name="Amount" numFmtId="0">
      <sharedItems containsString="0" containsBlank="1" containsNumber="1" containsInteger="1" minValue="1875" maxValue="11025"/>
    </cacheField>
  </cacheFields>
  <extLst>
    <ext xmlns:x14="http://schemas.microsoft.com/office/spreadsheetml/2009/9/main" uri="{725AE2AE-9491-48be-B2B4-4EB974FC3084}">
      <x14:pivotCacheDefinition pivotCacheId="17316123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x v="0"/>
    <x v="0"/>
    <n v="3"/>
    <n v="2001"/>
    <n v="6003"/>
  </r>
  <r>
    <x v="0"/>
    <x v="1"/>
    <x v="1"/>
    <x v="1"/>
    <x v="1"/>
    <n v="25"/>
    <n v="75"/>
    <n v="1875"/>
  </r>
  <r>
    <x v="1"/>
    <x v="2"/>
    <x v="1"/>
    <x v="2"/>
    <x v="2"/>
    <n v="10"/>
    <n v="315"/>
    <n v="3150"/>
  </r>
  <r>
    <x v="1"/>
    <x v="3"/>
    <x v="0"/>
    <x v="3"/>
    <x v="3"/>
    <n v="4"/>
    <n v="1080"/>
    <n v="4320"/>
  </r>
  <r>
    <x v="2"/>
    <x v="4"/>
    <x v="2"/>
    <x v="4"/>
    <x v="4"/>
    <n v="5"/>
    <n v="1575"/>
    <n v="7875"/>
  </r>
  <r>
    <x v="2"/>
    <x v="5"/>
    <x v="2"/>
    <x v="0"/>
    <x v="5"/>
    <n v="8"/>
    <n v="790"/>
    <n v="6320"/>
  </r>
  <r>
    <x v="3"/>
    <x v="0"/>
    <x v="0"/>
    <x v="1"/>
    <x v="6"/>
    <n v="2"/>
    <n v="2001"/>
    <n v="4002"/>
  </r>
  <r>
    <x v="3"/>
    <x v="1"/>
    <x v="1"/>
    <x v="2"/>
    <x v="1"/>
    <n v="40"/>
    <n v="75"/>
    <n v="3000"/>
  </r>
  <r>
    <x v="4"/>
    <x v="2"/>
    <x v="1"/>
    <x v="3"/>
    <x v="0"/>
    <n v="12"/>
    <n v="315"/>
    <n v="3780"/>
  </r>
  <r>
    <x v="4"/>
    <x v="3"/>
    <x v="0"/>
    <x v="4"/>
    <x v="2"/>
    <n v="3"/>
    <n v="1080"/>
    <n v="3240"/>
  </r>
  <r>
    <x v="5"/>
    <x v="4"/>
    <x v="2"/>
    <x v="0"/>
    <x v="3"/>
    <n v="6"/>
    <n v="1575"/>
    <n v="9450"/>
  </r>
  <r>
    <x v="5"/>
    <x v="5"/>
    <x v="2"/>
    <x v="1"/>
    <x v="4"/>
    <n v="9"/>
    <n v="790"/>
    <n v="7110"/>
  </r>
  <r>
    <x v="6"/>
    <x v="0"/>
    <x v="0"/>
    <x v="2"/>
    <x v="5"/>
    <n v="1"/>
    <n v="2001"/>
    <n v="2001"/>
  </r>
  <r>
    <x v="6"/>
    <x v="1"/>
    <x v="1"/>
    <x v="3"/>
    <x v="6"/>
    <n v="35"/>
    <n v="75"/>
    <n v="2625"/>
  </r>
  <r>
    <x v="7"/>
    <x v="2"/>
    <x v="1"/>
    <x v="4"/>
    <x v="1"/>
    <n v="14"/>
    <n v="315"/>
    <n v="4410"/>
  </r>
  <r>
    <x v="7"/>
    <x v="3"/>
    <x v="0"/>
    <x v="0"/>
    <x v="0"/>
    <n v="5"/>
    <n v="1080"/>
    <n v="5400"/>
  </r>
  <r>
    <x v="8"/>
    <x v="4"/>
    <x v="2"/>
    <x v="1"/>
    <x v="2"/>
    <n v="7"/>
    <n v="1575"/>
    <n v="11025"/>
  </r>
  <r>
    <x v="8"/>
    <x v="5"/>
    <x v="2"/>
    <x v="2"/>
    <x v="3"/>
    <n v="11"/>
    <n v="790"/>
    <n v="8690"/>
  </r>
  <r>
    <x v="9"/>
    <x v="0"/>
    <x v="0"/>
    <x v="3"/>
    <x v="4"/>
    <n v="4"/>
    <n v="2001"/>
    <n v="8004"/>
  </r>
  <r>
    <x v="9"/>
    <x v="1"/>
    <x v="1"/>
    <x v="4"/>
    <x v="5"/>
    <n v="28"/>
    <n v="75"/>
    <n v="2100"/>
  </r>
  <r>
    <x v="10"/>
    <x v="6"/>
    <x v="3"/>
    <x v="5"/>
    <x v="7"/>
    <m/>
    <m/>
    <m/>
  </r>
  <r>
    <x v="10"/>
    <x v="6"/>
    <x v="3"/>
    <x v="5"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B1BB0-1E8A-41E0-8B88-EBA9E1E99D35}" name="PivotTable10" cacheId="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D4:E12" firstHeaderRow="1" firstDataRow="1" firstDataCol="1"/>
  <pivotFields count="8"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outline="0" showAll="0">
      <items count="8">
        <item x="2"/>
        <item x="0"/>
        <item x="3"/>
        <item x="4"/>
        <item x="5"/>
        <item x="1"/>
        <item x="6"/>
        <item t="default"/>
      </items>
    </pivotField>
    <pivotField compact="0" outline="0" showAll="0"/>
    <pivotField compact="0" outline="0" showAll="0"/>
    <pivotField compact="0" outline="0" showAll="0" sortType="descending">
      <items count="9">
        <item x="0"/>
        <item x="3"/>
        <item x="4"/>
        <item x="5"/>
        <item x="6"/>
        <item x="1"/>
        <item x="2"/>
        <item n="Ratnagiri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7" baseField="0" baseItem="0"/>
  </dataFields>
  <formats count="1">
    <format dxfId="10">
      <pivotArea outline="0" fieldPosition="0">
        <references count="1">
          <reference field="1" count="0" selected="0"/>
        </references>
      </pivotArea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DEB8C-F9E9-4E86-AB9D-A21A71C728F8}" name="PivotTable9" cacheId="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4:O16" firstHeaderRow="1" firstDataRow="1" firstDataCol="1"/>
  <pivotFields count="8"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8">
        <item x="2"/>
        <item x="0"/>
        <item x="3"/>
        <item x="4"/>
        <item x="5"/>
        <item x="1"/>
        <item x="6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7">
        <item x="4"/>
        <item x="1"/>
        <item x="3"/>
        <item x="2"/>
        <item x="0"/>
        <item x="5"/>
        <item t="default"/>
      </items>
    </pivotField>
    <pivotField compact="0" outline="0" showAll="0">
      <items count="9">
        <item x="0"/>
        <item x="3"/>
        <item x="4"/>
        <item x="5"/>
        <item x="6"/>
        <item x="1"/>
        <item x="2"/>
        <item n="Ratnagiri" x="7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7" baseField="0" baseItem="0"/>
  </dataFields>
  <formats count="2">
    <format dxfId="8">
      <pivotArea outline="0" fieldPosition="0">
        <references count="1">
          <reference field="0" count="0" selected="0"/>
        </references>
      </pivotArea>
    </format>
    <format dxfId="9">
      <pivotArea outline="0" fieldPosition="0">
        <references count="1">
          <reference field="0" count="10" selected="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4F367-3B7C-4298-A053-674CF8F6C15C}" name="PivotTable5" cacheId="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4:L9" firstHeaderRow="1" firstDataRow="1" firstDataCol="1"/>
  <pivotFields count="8"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8">
        <item x="2"/>
        <item x="0"/>
        <item x="3"/>
        <item x="4"/>
        <item x="5"/>
        <item x="1"/>
        <item x="6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7">
        <item x="4"/>
        <item x="1"/>
        <item x="3"/>
        <item x="2"/>
        <item x="0"/>
        <item x="5"/>
        <item t="default"/>
      </items>
    </pivotField>
    <pivotField compact="0" outline="0" showAll="0" sortType="descending">
      <items count="9">
        <item x="0"/>
        <item x="3"/>
        <item x="4"/>
        <item x="5"/>
        <item x="6"/>
        <item x="1"/>
        <item x="2"/>
        <item n="Ratnagiri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7" baseField="0" baseItem="0"/>
  </dataFields>
  <formats count="2">
    <format dxfId="6">
      <pivotArea outline="0" fieldPosition="0">
        <references count="1">
          <reference field="2" count="0" selected="0"/>
        </references>
      </pivotArea>
    </format>
    <format dxfId="7">
      <pivotArea outline="0" fieldPosition="0">
        <references count="1">
          <reference field="2" count="3" selected="0">
            <x v="0"/>
            <x v="1"/>
            <x v="2"/>
          </reference>
        </references>
      </pivotArea>
    </format>
  </formats>
  <chartFormats count="20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1E3B9-AEE5-4165-9499-D934944FFD8E}" name="PivotTable4" cacheId="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4:I11" firstHeaderRow="1" firstDataRow="1" firstDataCol="1"/>
  <pivotFields count="8"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8">
        <item x="2"/>
        <item x="0"/>
        <item x="3"/>
        <item x="4"/>
        <item x="5"/>
        <item x="1"/>
        <item x="6"/>
        <item t="default"/>
      </items>
    </pivotField>
    <pivotField compact="0" outline="0" showAll="0"/>
    <pivotField axis="axisRow" compact="0" outline="0" showAll="0">
      <items count="7">
        <item x="4"/>
        <item x="1"/>
        <item x="3"/>
        <item x="2"/>
        <item x="0"/>
        <item x="5"/>
        <item t="default"/>
      </items>
    </pivotField>
    <pivotField compact="0" outline="0" showAll="0" sortType="descending">
      <items count="9">
        <item x="0"/>
        <item x="3"/>
        <item x="4"/>
        <item x="5"/>
        <item x="6"/>
        <item x="1"/>
        <item x="2"/>
        <item n="Ratnagiri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/>
  </dataFields>
  <formats count="2">
    <format dxfId="4">
      <pivotArea outline="0" fieldPosition="0">
        <references count="1">
          <reference field="3" count="0" selected="0"/>
        </references>
      </pivotArea>
    </format>
    <format dxfId="5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53E96-AD46-4A34-87A2-42ED0890AF5A}" name="PivotTable2" cacheId="6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2" firstHeaderRow="1" firstDataRow="1" firstDataCol="1"/>
  <pivotFields count="8"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0"/>
        <item x="3"/>
        <item x="4"/>
        <item x="5"/>
        <item x="6"/>
        <item x="1"/>
        <item x="2"/>
        <item n="Ratnagiri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9">
    <i>
      <x v="2"/>
    </i>
    <i>
      <x v="1"/>
    </i>
    <i>
      <x v="6"/>
    </i>
    <i>
      <x/>
    </i>
    <i>
      <x v="3"/>
    </i>
    <i>
      <x v="5"/>
    </i>
    <i>
      <x v="4"/>
    </i>
    <i>
      <x v="7"/>
    </i>
    <i t="grand">
      <x/>
    </i>
  </rowItems>
  <colItems count="1">
    <i/>
  </colItems>
  <dataFields count="1">
    <dataField name="Sum of Amount" fld="7" baseField="0" baseItem="0"/>
  </dataFields>
  <formats count="1">
    <format dxfId="3">
      <pivotArea outline="0" fieldPosition="0">
        <references count="1">
          <reference field="4" count="0" selected="0"/>
        </references>
      </pivotArea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D185E11E-35B1-4F7A-8537-D91352AB4D04}" sourceName="Date">
  <pivotTables>
    <pivotTable tabId="2" name="PivotTable10"/>
    <pivotTable tabId="2" name="PivotTable9"/>
    <pivotTable tabId="2" name="PivotTable5"/>
    <pivotTable tabId="2" name="PivotTable4"/>
    <pivotTable tabId="2" name="PivotTable2"/>
  </pivotTables>
  <data>
    <tabular pivotCacheId="1731612334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8A0B85D6-9648-4C49-8FA5-6B83A87A2CDB}" cache="Slicer_Date" caption="Month (Date)" startItem="5" style="SlicerStyleLight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3CBE5-4568-4A82-8CB1-5677960D2174}" name="Table2" displayName="Table2" ref="A1:H21" totalsRowShown="0" headerRowDxfId="2" tableBorderDxfId="1">
  <autoFilter ref="A1:H21" xr:uid="{B4F3CBE5-4568-4A82-8CB1-5677960D2174}"/>
  <tableColumns count="8">
    <tableColumn id="1" xr3:uid="{63FB9A01-5920-48DA-ABC2-C0AD2F78777E}" name="Date" dataDxfId="0"/>
    <tableColumn id="2" xr3:uid="{5446D4E5-0611-4787-A367-712545CADA53}" name="Product"/>
    <tableColumn id="3" xr3:uid="{B857D82B-E3C4-4C63-8B60-805A8FF9DB61}" name="Category"/>
    <tableColumn id="4" xr3:uid="{1FFC682A-3302-44A0-8051-2847D61B6A55}" name="Sales Rep"/>
    <tableColumn id="5" xr3:uid="{00E1202F-698F-46B1-AC6B-9044E36B6697}" name="City"/>
    <tableColumn id="6" xr3:uid="{FCA9B690-1741-4F32-B9EA-7FD1A349E952}" name="No.of Units"/>
    <tableColumn id="7" xr3:uid="{1EC2F3F3-07C4-41F1-9FE2-8E2DC3898EED}" name="Price"/>
    <tableColumn id="8" xr3:uid="{40E19332-FFE1-452E-A435-11482C11346B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/>
  <cols>
    <col min="1" max="1" width="10.85546875" bestFit="1" customWidth="1"/>
    <col min="2" max="2" width="16.5703125" bestFit="1" customWidth="1"/>
    <col min="3" max="3" width="16" bestFit="1" customWidth="1"/>
    <col min="4" max="4" width="11.85546875" bestFit="1" customWidth="1"/>
    <col min="5" max="5" width="10.28515625" bestFit="1" customWidth="1"/>
    <col min="6" max="6" width="13" bestFit="1" customWidth="1"/>
    <col min="7" max="7" width="10.85546875" bestFit="1" customWidth="1"/>
    <col min="8" max="8" width="10.1406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>
        <v>44197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</v>
      </c>
      <c r="G2" s="3">
        <v>2001</v>
      </c>
      <c r="H2" s="3">
        <v>6003</v>
      </c>
    </row>
    <row r="3" spans="1:8">
      <c r="A3" s="4">
        <v>44197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25</v>
      </c>
      <c r="G3" s="3">
        <v>75</v>
      </c>
      <c r="H3" s="3">
        <v>1875</v>
      </c>
    </row>
    <row r="4" spans="1:8">
      <c r="A4" s="4">
        <v>44198</v>
      </c>
      <c r="B4" s="3" t="s">
        <v>16</v>
      </c>
      <c r="C4" s="3" t="s">
        <v>13</v>
      </c>
      <c r="D4" s="3" t="s">
        <v>17</v>
      </c>
      <c r="E4" s="3" t="s">
        <v>18</v>
      </c>
      <c r="F4" s="3">
        <v>10</v>
      </c>
      <c r="G4" s="3">
        <v>315</v>
      </c>
      <c r="H4" s="3">
        <v>3150</v>
      </c>
    </row>
    <row r="5" spans="1:8">
      <c r="A5" s="4">
        <v>44198</v>
      </c>
      <c r="B5" s="3" t="s">
        <v>19</v>
      </c>
      <c r="C5" s="3" t="s">
        <v>9</v>
      </c>
      <c r="D5" s="3" t="s">
        <v>20</v>
      </c>
      <c r="E5" s="3" t="s">
        <v>21</v>
      </c>
      <c r="F5" s="3">
        <v>4</v>
      </c>
      <c r="G5" s="3">
        <v>1080</v>
      </c>
      <c r="H5" s="3">
        <v>4320</v>
      </c>
    </row>
    <row r="6" spans="1:8">
      <c r="A6" s="4">
        <v>44199</v>
      </c>
      <c r="B6" s="3" t="s">
        <v>22</v>
      </c>
      <c r="C6" s="3" t="s">
        <v>23</v>
      </c>
      <c r="D6" s="3" t="s">
        <v>24</v>
      </c>
      <c r="E6" s="3" t="s">
        <v>25</v>
      </c>
      <c r="F6" s="3">
        <v>5</v>
      </c>
      <c r="G6" s="3">
        <v>1575</v>
      </c>
      <c r="H6" s="3">
        <v>7875</v>
      </c>
    </row>
    <row r="7" spans="1:8">
      <c r="A7" s="4">
        <v>44199</v>
      </c>
      <c r="B7" s="3" t="s">
        <v>26</v>
      </c>
      <c r="C7" s="3" t="s">
        <v>23</v>
      </c>
      <c r="D7" s="3" t="s">
        <v>10</v>
      </c>
      <c r="E7" s="3" t="s">
        <v>27</v>
      </c>
      <c r="F7" s="3">
        <v>8</v>
      </c>
      <c r="G7" s="3">
        <v>790</v>
      </c>
      <c r="H7" s="3">
        <v>6320</v>
      </c>
    </row>
    <row r="8" spans="1:8">
      <c r="A8" s="4">
        <v>44200</v>
      </c>
      <c r="B8" s="3" t="s">
        <v>8</v>
      </c>
      <c r="C8" s="3" t="s">
        <v>9</v>
      </c>
      <c r="D8" s="3" t="s">
        <v>14</v>
      </c>
      <c r="E8" s="3" t="s">
        <v>28</v>
      </c>
      <c r="F8" s="3">
        <v>2</v>
      </c>
      <c r="G8" s="3">
        <v>2001</v>
      </c>
      <c r="H8" s="3">
        <v>4002</v>
      </c>
    </row>
    <row r="9" spans="1:8">
      <c r="A9" s="4">
        <v>44200</v>
      </c>
      <c r="B9" s="3" t="s">
        <v>12</v>
      </c>
      <c r="C9" s="3" t="s">
        <v>13</v>
      </c>
      <c r="D9" s="3" t="s">
        <v>17</v>
      </c>
      <c r="E9" s="3" t="s">
        <v>15</v>
      </c>
      <c r="F9" s="3">
        <v>40</v>
      </c>
      <c r="G9" s="3">
        <v>75</v>
      </c>
      <c r="H9" s="3">
        <v>3000</v>
      </c>
    </row>
    <row r="10" spans="1:8">
      <c r="A10" s="4">
        <v>44201</v>
      </c>
      <c r="B10" s="3" t="s">
        <v>16</v>
      </c>
      <c r="C10" s="3" t="s">
        <v>13</v>
      </c>
      <c r="D10" s="3" t="s">
        <v>20</v>
      </c>
      <c r="E10" s="3" t="s">
        <v>11</v>
      </c>
      <c r="F10" s="3">
        <v>12</v>
      </c>
      <c r="G10" s="3">
        <v>315</v>
      </c>
      <c r="H10" s="3">
        <v>3780</v>
      </c>
    </row>
    <row r="11" spans="1:8">
      <c r="A11" s="4">
        <v>44201</v>
      </c>
      <c r="B11" s="3" t="s">
        <v>19</v>
      </c>
      <c r="C11" s="3" t="s">
        <v>9</v>
      </c>
      <c r="D11" s="3" t="s">
        <v>24</v>
      </c>
      <c r="E11" s="3" t="s">
        <v>18</v>
      </c>
      <c r="F11" s="3">
        <v>3</v>
      </c>
      <c r="G11" s="3">
        <v>1080</v>
      </c>
      <c r="H11" s="3">
        <v>3240</v>
      </c>
    </row>
    <row r="12" spans="1:8">
      <c r="A12" s="4">
        <v>44202</v>
      </c>
      <c r="B12" s="3" t="s">
        <v>22</v>
      </c>
      <c r="C12" s="3" t="s">
        <v>23</v>
      </c>
      <c r="D12" s="3" t="s">
        <v>10</v>
      </c>
      <c r="E12" s="3" t="s">
        <v>21</v>
      </c>
      <c r="F12" s="3">
        <v>6</v>
      </c>
      <c r="G12" s="3">
        <v>1575</v>
      </c>
      <c r="H12" s="3">
        <v>9450</v>
      </c>
    </row>
    <row r="13" spans="1:8">
      <c r="A13" s="4">
        <v>44202</v>
      </c>
      <c r="B13" s="3" t="s">
        <v>26</v>
      </c>
      <c r="C13" s="3" t="s">
        <v>23</v>
      </c>
      <c r="D13" s="3" t="s">
        <v>14</v>
      </c>
      <c r="E13" s="3" t="s">
        <v>25</v>
      </c>
      <c r="F13" s="3">
        <v>9</v>
      </c>
      <c r="G13" s="3">
        <v>790</v>
      </c>
      <c r="H13" s="3">
        <v>7110</v>
      </c>
    </row>
    <row r="14" spans="1:8">
      <c r="A14" s="4">
        <v>44203</v>
      </c>
      <c r="B14" s="3" t="s">
        <v>8</v>
      </c>
      <c r="C14" s="3" t="s">
        <v>9</v>
      </c>
      <c r="D14" s="3" t="s">
        <v>17</v>
      </c>
      <c r="E14" s="3" t="s">
        <v>27</v>
      </c>
      <c r="F14" s="3">
        <v>1</v>
      </c>
      <c r="G14" s="3">
        <v>2001</v>
      </c>
      <c r="H14" s="3">
        <v>2001</v>
      </c>
    </row>
    <row r="15" spans="1:8">
      <c r="A15" s="4">
        <v>44203</v>
      </c>
      <c r="B15" s="3" t="s">
        <v>12</v>
      </c>
      <c r="C15" s="3" t="s">
        <v>13</v>
      </c>
      <c r="D15" s="3" t="s">
        <v>20</v>
      </c>
      <c r="E15" s="3" t="s">
        <v>28</v>
      </c>
      <c r="F15" s="3">
        <v>35</v>
      </c>
      <c r="G15" s="3">
        <v>75</v>
      </c>
      <c r="H15" s="3">
        <v>2625</v>
      </c>
    </row>
    <row r="16" spans="1:8">
      <c r="A16" s="4">
        <v>44204</v>
      </c>
      <c r="B16" s="3" t="s">
        <v>16</v>
      </c>
      <c r="C16" s="3" t="s">
        <v>13</v>
      </c>
      <c r="D16" s="3" t="s">
        <v>24</v>
      </c>
      <c r="E16" s="3" t="s">
        <v>15</v>
      </c>
      <c r="F16" s="3">
        <v>14</v>
      </c>
      <c r="G16" s="3">
        <v>315</v>
      </c>
      <c r="H16" s="3">
        <v>4410</v>
      </c>
    </row>
    <row r="17" spans="1:8">
      <c r="A17" s="4">
        <v>44204</v>
      </c>
      <c r="B17" s="3" t="s">
        <v>19</v>
      </c>
      <c r="C17" s="3" t="s">
        <v>9</v>
      </c>
      <c r="D17" s="3" t="s">
        <v>10</v>
      </c>
      <c r="E17" s="3" t="s">
        <v>11</v>
      </c>
      <c r="F17" s="3">
        <v>5</v>
      </c>
      <c r="G17" s="3">
        <v>1080</v>
      </c>
      <c r="H17" s="3">
        <v>5400</v>
      </c>
    </row>
    <row r="18" spans="1:8">
      <c r="A18" s="4">
        <v>44205</v>
      </c>
      <c r="B18" s="3" t="s">
        <v>22</v>
      </c>
      <c r="C18" s="3" t="s">
        <v>23</v>
      </c>
      <c r="D18" s="3" t="s">
        <v>14</v>
      </c>
      <c r="E18" s="3" t="s">
        <v>18</v>
      </c>
      <c r="F18" s="3">
        <v>7</v>
      </c>
      <c r="G18" s="3">
        <v>1575</v>
      </c>
      <c r="H18" s="3">
        <v>11025</v>
      </c>
    </row>
    <row r="19" spans="1:8">
      <c r="A19" s="4">
        <v>44205</v>
      </c>
      <c r="B19" s="3" t="s">
        <v>26</v>
      </c>
      <c r="C19" s="3" t="s">
        <v>23</v>
      </c>
      <c r="D19" s="3" t="s">
        <v>17</v>
      </c>
      <c r="E19" s="3" t="s">
        <v>21</v>
      </c>
      <c r="F19" s="3">
        <v>11</v>
      </c>
      <c r="G19" s="3">
        <v>790</v>
      </c>
      <c r="H19" s="3">
        <v>8690</v>
      </c>
    </row>
    <row r="20" spans="1:8">
      <c r="A20" s="4">
        <v>44206</v>
      </c>
      <c r="B20" s="3" t="s">
        <v>8</v>
      </c>
      <c r="C20" s="3" t="s">
        <v>9</v>
      </c>
      <c r="D20" s="3" t="s">
        <v>20</v>
      </c>
      <c r="E20" s="3" t="s">
        <v>25</v>
      </c>
      <c r="F20" s="3">
        <v>4</v>
      </c>
      <c r="G20" s="3">
        <v>2001</v>
      </c>
      <c r="H20" s="3">
        <v>8004</v>
      </c>
    </row>
    <row r="21" spans="1:8">
      <c r="A21" s="4">
        <v>44206</v>
      </c>
      <c r="B21" s="3" t="s">
        <v>12</v>
      </c>
      <c r="C21" s="3" t="s">
        <v>13</v>
      </c>
      <c r="D21" s="3" t="s">
        <v>24</v>
      </c>
      <c r="E21" s="3" t="s">
        <v>27</v>
      </c>
      <c r="F21" s="3">
        <v>28</v>
      </c>
      <c r="G21" s="3">
        <v>75</v>
      </c>
      <c r="H21" s="3">
        <v>2100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010D-B349-4B09-BF20-EAAFE00C16F2}">
  <dimension ref="A3:O16"/>
  <sheetViews>
    <sheetView topLeftCell="F1" workbookViewId="0">
      <selection activeCell="N4" sqref="N4:O16"/>
    </sheetView>
  </sheetViews>
  <sheetFormatPr defaultRowHeight="15"/>
  <cols>
    <col min="1" max="1" width="11.140625" bestFit="1" customWidth="1"/>
    <col min="2" max="2" width="14.28515625" bestFit="1" customWidth="1"/>
    <col min="4" max="4" width="16" bestFit="1" customWidth="1"/>
    <col min="5" max="7" width="14.28515625" bestFit="1" customWidth="1"/>
    <col min="8" max="8" width="12.7109375" bestFit="1" customWidth="1"/>
    <col min="9" max="10" width="14.28515625" bestFit="1" customWidth="1"/>
    <col min="11" max="11" width="12" bestFit="1" customWidth="1"/>
    <col min="12" max="13" width="14.28515625" bestFit="1" customWidth="1"/>
    <col min="14" max="14" width="11.140625" bestFit="1" customWidth="1"/>
    <col min="15" max="15" width="14.28515625" customWidth="1"/>
    <col min="16" max="16" width="14.28515625" bestFit="1" customWidth="1"/>
  </cols>
  <sheetData>
    <row r="3" spans="1:15">
      <c r="A3" s="5" t="s">
        <v>4</v>
      </c>
      <c r="B3" t="s">
        <v>29</v>
      </c>
    </row>
    <row r="4" spans="1:15">
      <c r="A4" t="s">
        <v>25</v>
      </c>
      <c r="B4" s="8">
        <v>22989</v>
      </c>
      <c r="D4" s="5" t="s">
        <v>1</v>
      </c>
      <c r="E4" t="s">
        <v>29</v>
      </c>
      <c r="H4" s="5" t="s">
        <v>3</v>
      </c>
      <c r="I4" t="s">
        <v>29</v>
      </c>
      <c r="K4" s="5" t="s">
        <v>2</v>
      </c>
      <c r="L4" t="s">
        <v>29</v>
      </c>
      <c r="N4" s="5" t="s">
        <v>0</v>
      </c>
      <c r="O4" t="s">
        <v>29</v>
      </c>
    </row>
    <row r="5" spans="1:15">
      <c r="A5" t="s">
        <v>21</v>
      </c>
      <c r="B5" s="8">
        <v>22460</v>
      </c>
      <c r="D5" t="s">
        <v>16</v>
      </c>
      <c r="E5" s="8">
        <v>11340</v>
      </c>
      <c r="H5" t="s">
        <v>24</v>
      </c>
      <c r="I5" s="8">
        <v>17625</v>
      </c>
      <c r="K5" t="s">
        <v>13</v>
      </c>
      <c r="L5" s="8">
        <v>20940</v>
      </c>
      <c r="N5" s="1">
        <v>44197</v>
      </c>
      <c r="O5" s="8">
        <v>7878</v>
      </c>
    </row>
    <row r="6" spans="1:15">
      <c r="A6" t="s">
        <v>18</v>
      </c>
      <c r="B6" s="8">
        <v>17415</v>
      </c>
      <c r="D6" t="s">
        <v>8</v>
      </c>
      <c r="E6" s="8">
        <v>20010</v>
      </c>
      <c r="H6" t="s">
        <v>14</v>
      </c>
      <c r="I6" s="8">
        <v>24012</v>
      </c>
      <c r="K6" t="s">
        <v>9</v>
      </c>
      <c r="L6" s="8">
        <v>32970</v>
      </c>
      <c r="N6" s="1">
        <v>44198</v>
      </c>
      <c r="O6" s="8">
        <v>7470</v>
      </c>
    </row>
    <row r="7" spans="1:15">
      <c r="A7" t="s">
        <v>11</v>
      </c>
      <c r="B7" s="8">
        <v>15183</v>
      </c>
      <c r="D7" t="s">
        <v>19</v>
      </c>
      <c r="E7" s="8">
        <v>12960</v>
      </c>
      <c r="H7" t="s">
        <v>20</v>
      </c>
      <c r="I7" s="8">
        <v>18729</v>
      </c>
      <c r="K7" t="s">
        <v>23</v>
      </c>
      <c r="L7" s="8">
        <v>50470</v>
      </c>
      <c r="N7" s="1">
        <v>44199</v>
      </c>
      <c r="O7" s="8">
        <v>14195</v>
      </c>
    </row>
    <row r="8" spans="1:15">
      <c r="A8" t="s">
        <v>27</v>
      </c>
      <c r="B8" s="8">
        <v>10421</v>
      </c>
      <c r="D8" t="s">
        <v>22</v>
      </c>
      <c r="E8" s="8">
        <v>28350</v>
      </c>
      <c r="H8" t="s">
        <v>17</v>
      </c>
      <c r="I8" s="8">
        <v>16841</v>
      </c>
      <c r="K8" t="s">
        <v>30</v>
      </c>
      <c r="L8" s="7"/>
      <c r="N8" s="1">
        <v>44200</v>
      </c>
      <c r="O8" s="8">
        <v>7002</v>
      </c>
    </row>
    <row r="9" spans="1:15">
      <c r="A9" t="s">
        <v>15</v>
      </c>
      <c r="B9" s="8">
        <v>9285</v>
      </c>
      <c r="D9" t="s">
        <v>26</v>
      </c>
      <c r="E9" s="8">
        <v>22120</v>
      </c>
      <c r="H9" t="s">
        <v>10</v>
      </c>
      <c r="I9" s="8">
        <v>27173</v>
      </c>
      <c r="K9" t="s">
        <v>31</v>
      </c>
      <c r="L9" s="6">
        <v>104380</v>
      </c>
      <c r="N9" s="1">
        <v>44201</v>
      </c>
      <c r="O9" s="8">
        <v>7020</v>
      </c>
    </row>
    <row r="10" spans="1:15">
      <c r="A10" t="s">
        <v>28</v>
      </c>
      <c r="B10" s="8">
        <v>6627</v>
      </c>
      <c r="D10" t="s">
        <v>12</v>
      </c>
      <c r="E10" s="8">
        <v>9600</v>
      </c>
      <c r="H10" t="s">
        <v>30</v>
      </c>
      <c r="I10" s="7"/>
      <c r="N10" s="1">
        <v>44202</v>
      </c>
      <c r="O10" s="8">
        <v>16560</v>
      </c>
    </row>
    <row r="11" spans="1:15">
      <c r="A11" t="s">
        <v>32</v>
      </c>
      <c r="B11" s="8"/>
      <c r="D11" t="s">
        <v>30</v>
      </c>
      <c r="E11" s="8"/>
      <c r="H11" t="s">
        <v>31</v>
      </c>
      <c r="I11" s="6">
        <v>104380</v>
      </c>
      <c r="N11" s="1">
        <v>44203</v>
      </c>
      <c r="O11" s="8">
        <v>4626</v>
      </c>
    </row>
    <row r="12" spans="1:15">
      <c r="A12" t="s">
        <v>31</v>
      </c>
      <c r="B12" s="6">
        <v>104380</v>
      </c>
      <c r="D12" t="s">
        <v>31</v>
      </c>
      <c r="E12" s="6">
        <v>104380</v>
      </c>
      <c r="N12" s="1">
        <v>44204</v>
      </c>
      <c r="O12" s="8">
        <v>9810</v>
      </c>
    </row>
    <row r="13" spans="1:15">
      <c r="N13" s="1">
        <v>44205</v>
      </c>
      <c r="O13" s="8">
        <v>19715</v>
      </c>
    </row>
    <row r="14" spans="1:15">
      <c r="N14" s="1">
        <v>44206</v>
      </c>
      <c r="O14" s="8">
        <v>10104</v>
      </c>
    </row>
    <row r="15" spans="1:15">
      <c r="N15" t="s">
        <v>30</v>
      </c>
      <c r="O15" s="7"/>
    </row>
    <row r="16" spans="1:15">
      <c r="N16" t="s">
        <v>31</v>
      </c>
      <c r="O16" s="6">
        <v>104380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F81E-DA85-44F7-95C5-C1556952CB91}">
  <dimension ref="A1"/>
  <sheetViews>
    <sheetView workbookViewId="0">
      <selection activeCell="A10" sqref="A10:XFD10"/>
    </sheetView>
  </sheetViews>
  <sheetFormatPr defaultRowHeight="15"/>
  <cols>
    <col min="1" max="1" width="12.7109375" bestFit="1" customWidth="1"/>
    <col min="2" max="2" width="14.2851562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nimra lebbai</cp:lastModifiedBy>
  <cp:revision/>
  <dcterms:created xsi:type="dcterms:W3CDTF">2026-05-08T10:40:58Z</dcterms:created>
  <dcterms:modified xsi:type="dcterms:W3CDTF">2026-05-08T13:32:28Z</dcterms:modified>
  <cp:category/>
  <cp:contentStatus/>
</cp:coreProperties>
</file>